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barasan\Downloads\"/>
    </mc:Choice>
  </mc:AlternateContent>
  <xr:revisionPtr revIDLastSave="0" documentId="13_ncr:1_{9DDAD669-22BB-4D94-B481-1D9DC81145CE}" xr6:coauthVersionLast="47" xr6:coauthVersionMax="47" xr10:uidLastSave="{00000000-0000-0000-0000-000000000000}"/>
  <bookViews>
    <workbookView xWindow="-108" yWindow="-108" windowWidth="23256" windowHeight="13896" firstSheet="4" activeTab="6" xr2:uid="{00000000-000D-0000-FFFF-FFFF00000000}"/>
  </bookViews>
  <sheets>
    <sheet name="Summary" sheetId="1" r:id="rId1"/>
    <sheet name="1. Member vs DRG Codes" sheetId="2" r:id="rId2"/>
    <sheet name="2. Demographics &amp; Location" sheetId="3" r:id="rId3"/>
    <sheet name="3. July 1st Admission Effect" sheetId="4" r:id="rId4"/>
    <sheet name="4. Readmission Eligibility" sheetId="5" r:id="rId5"/>
    <sheet name="H1 - Weekend Admission Effect" sheetId="6" r:id="rId6"/>
    <sheet name="H3 - 30-Day Readmissions" sheetId="7" r:id="rId7"/>
  </sheets>
  <calcPr calcId="0"/>
</workbook>
</file>

<file path=xl/sharedStrings.xml><?xml version="1.0" encoding="utf-8"?>
<sst xmlns="http://schemas.openxmlformats.org/spreadsheetml/2006/main" count="188" uniqueCount="157">
  <si>
    <t>DRG Inpatient Member Analysis — Payment Integrity Summary</t>
  </si>
  <si>
    <t>Data source: CMS 2008-2010 DE-SynPUF (Sample 1) Inpatient Claims — CMS-published SYNTHETIC data, statistically representative but not real beneficiaries.</t>
  </si>
  <si>
    <t>MEMBER / DRG PROFILE (%)</t>
  </si>
  <si>
    <t>Members with only 1 distinct DRG code</t>
  </si>
  <si>
    <t>60.3%</t>
  </si>
  <si>
    <t>Members with 2 distinct DRG codes</t>
  </si>
  <si>
    <t>21.3%</t>
  </si>
  <si>
    <t>Members with 3+ distinct DRG codes</t>
  </si>
  <si>
    <t>18.4%</t>
  </si>
  <si>
    <t>Members re-admitted under the exact SAME DRG twice+</t>
  </si>
  <si>
    <t>0.5%</t>
  </si>
  <si>
    <t>Claim volume held by top 10 DRG codes (out of 688)</t>
  </si>
  <si>
    <t>4.6%</t>
  </si>
  <si>
    <t>Claim volume held by top 20 DRG codes</t>
  </si>
  <si>
    <t>8.8%</t>
  </si>
  <si>
    <t>MEMBER DEMOGRAPHICS (%)</t>
  </si>
  <si>
    <t>Female / Male</t>
  </si>
  <si>
    <t>55.7% / 44.3%</t>
  </si>
  <si>
    <t>White / Black / Hispanic / Other race</t>
  </si>
  <si>
    <t>84.3% / 10.6% / 1.7% / 3.5%</t>
  </si>
  <si>
    <t>Age 75+ at first admission</t>
  </si>
  <si>
    <t>51.5%</t>
  </si>
  <si>
    <t>Top state by member share</t>
  </si>
  <si>
    <t>California — 8.6%</t>
  </si>
  <si>
    <t>Most prevalent chronic condition</t>
  </si>
  <si>
    <t>Ischemic Heart Disease — 69.2%</t>
  </si>
  <si>
    <t>2nd most prevalent chronic condition</t>
  </si>
  <si>
    <t>Diabetes — 64.2%</t>
  </si>
  <si>
    <t>HYPOTHESIS &amp; VALIDATION RESULTS</t>
  </si>
  <si>
    <t>H1: Weekend/Friday admission -&gt; delayed or reduced treatment</t>
  </si>
  <si>
    <t>NOT SUPPORTED</t>
  </si>
  <si>
    <t>LOS p=0.216, procedure-rate p=0.873, payment p=0.742 — all not significant</t>
  </si>
  <si>
    <t>July 1st ('July effect') admission -&gt; worse treatment</t>
  </si>
  <si>
    <t>All metrics trend equal or better on July 1-7 vs rest of year (p&gt;0.05); n=13 exact-date sample is small</t>
  </si>
  <si>
    <t>H3: Fast readmissions signal premature discharge / care gaps</t>
  </si>
  <si>
    <t>SUPPORTED</t>
  </si>
  <si>
    <t>22.1% of admissions are 30-day all-cause readmissions — above typical benchmarks, flags a review cohort</t>
  </si>
  <si>
    <t>H2: Same-DRG claims should have consistent payment (outlier=audit flag)</t>
  </si>
  <si>
    <t>4.6% of eligible claims are statistical payment outliers (|z|&gt;2) within their DRG</t>
  </si>
  <si>
    <t>Is 14% a valid 30-day member-readmission-eligibility benchmark?</t>
  </si>
  <si>
    <t>YES — VALID</t>
  </si>
  <si>
    <t>Sample rate 13.5% vs CMS national avg ~14.7% (range 11-17% by condition) — consistent with real CMS data</t>
  </si>
  <si>
    <t>Tabs: 1) Member vs DRG Codes  2) Demographics &amp; Location  3) July 1st Admission Effect  4) Readmission Eligibility (14% check)  H1) Weekend Effect (detail)  H3) 30-Day Readmissions (detail)</t>
  </si>
  <si>
    <t>How many distinct DRG codes does each member touch?</t>
  </si>
  <si>
    <t>Distinct DRG Codes per Member</t>
  </si>
  <si>
    <t>% of Members</t>
  </si>
  <si>
    <t>1 distinct DRG</t>
  </si>
  <si>
    <t>2 distinct DRGs</t>
  </si>
  <si>
    <t>3 distinct DRGs</t>
  </si>
  <si>
    <t>4+ distinct DRGs</t>
  </si>
  <si>
    <t>% of All Claims</t>
  </si>
  <si>
    <t>TOP 10 DRG CODES BY % SHARE OF CLAIM VOLUME</t>
  </si>
  <si>
    <t>DRG Code</t>
  </si>
  <si>
    <t>Member demographic and geographic distribution (% of members)</t>
  </si>
  <si>
    <t>SEX</t>
  </si>
  <si>
    <t>Sex</t>
  </si>
  <si>
    <t>Female</t>
  </si>
  <si>
    <t>Male</t>
  </si>
  <si>
    <t>RACE</t>
  </si>
  <si>
    <t>Race</t>
  </si>
  <si>
    <t>White</t>
  </si>
  <si>
    <t>Black</t>
  </si>
  <si>
    <t>Others</t>
  </si>
  <si>
    <t>Hispanic</t>
  </si>
  <si>
    <t>AGE BAND (at first admission)</t>
  </si>
  <si>
    <t>Age Band</t>
  </si>
  <si>
    <t>65-74</t>
  </si>
  <si>
    <t>75-84</t>
  </si>
  <si>
    <t>85+</t>
  </si>
  <si>
    <t>CHRONIC CONDITION PREVALENCE</t>
  </si>
  <si>
    <t>Chronic Condition</t>
  </si>
  <si>
    <t>ISCHMCHT</t>
  </si>
  <si>
    <t>DIABETES</t>
  </si>
  <si>
    <t>CHF</t>
  </si>
  <si>
    <t>DEPRESSN</t>
  </si>
  <si>
    <t>ALZHDMTA</t>
  </si>
  <si>
    <t>CHRNKIDN</t>
  </si>
  <si>
    <t>COPD</t>
  </si>
  <si>
    <t>OSTEOPRS</t>
  </si>
  <si>
    <t>RA_OA</t>
  </si>
  <si>
    <t>CNCR</t>
  </si>
  <si>
    <t>STRKETIA</t>
  </si>
  <si>
    <t>TOP 10 STATES BY % SHARE OF MEMBERS</t>
  </si>
  <si>
    <t>State</t>
  </si>
  <si>
    <t>California</t>
  </si>
  <si>
    <t>Florida</t>
  </si>
  <si>
    <t>Texas</t>
  </si>
  <si>
    <t>New York</t>
  </si>
  <si>
    <t>Illinois</t>
  </si>
  <si>
    <t>Pennsylvania</t>
  </si>
  <si>
    <t>Ohio</t>
  </si>
  <si>
    <t>North Carolina</t>
  </si>
  <si>
    <t>Georgia</t>
  </si>
  <si>
    <t>Michigan</t>
  </si>
  <si>
    <t>TOP 10 STATES BY % SHARE OF CLAIMS</t>
  </si>
  <si>
    <t>% of Claims</t>
  </si>
  <si>
    <t>New Jersey</t>
  </si>
  <si>
    <t>Are members admitted on July 1st treated worse than other admission days?</t>
  </si>
  <si>
    <t>Hypothesis mirrors the well-documented "July effect" in US teaching hospitals, where new medical residents/interns start on July 1st each year, theoretically raising risk around that date.</t>
  </si>
  <si>
    <t>Group</t>
  </si>
  <si>
    <t>% With Procedure Documented</t>
  </si>
  <si>
    <t>Avg LOS (days)</t>
  </si>
  <si>
    <t>Avg Payment ($)</t>
  </si>
  <si>
    <t>ROBUSTNESS CHECK: JULY 1-7 WINDOW (n=117, 2.0% of claims) vs REST OF YEAR</t>
  </si>
  <si>
    <t>July 1-7 window</t>
  </si>
  <si>
    <t>Rest of year</t>
  </si>
  <si>
    <t>STATISTICAL TEST RESULTS (July 1-7 window)</t>
  </si>
  <si>
    <t>Test</t>
  </si>
  <si>
    <t>p-value</t>
  </si>
  <si>
    <t>Result</t>
  </si>
  <si>
    <t>LOS (Mann-Whitney U)</t>
  </si>
  <si>
    <t>Not significant</t>
  </si>
  <si>
    <t>Procedure documented (Chi-square)</t>
  </si>
  <si>
    <t>Payment (Mann-Whitney U)</t>
  </si>
  <si>
    <t>CONCLUSION: NOT SUPPORTED by this data. Members admitted on/around July 1st do not show worse outcomes — if anything, procedure-documentation rate and average LOS/payment trend slightly LOWER, not higher, though none of the differences are statistically significant (all p&gt;0.05). The exact-July-1st cut has only 13 claims, so this should be treated as directional, not conclusive; the broader July 1-7 window (117 claims) gives more reliable, consistent, non-significant results. No evidence here of a 'July effect' in this CMS synthetic sample.</t>
  </si>
  <si>
    <t>Of DRG inpatient members, what % are eligible &amp; readmitted within 30 days — is 14% valid?</t>
  </si>
  <si>
    <t>Eligible member = had at least one inpatient discharge and did NOT die during that stay (the population CMS-style readmission measures are based on).</t>
  </si>
  <si>
    <t>13.5%</t>
  </si>
  <si>
    <t>BENCHMARK COMPARISON</t>
  </si>
  <si>
    <t>Metric</t>
  </si>
  <si>
    <t>Value</t>
  </si>
  <si>
    <t>% eligible members with 30-day readmission (this sample)</t>
  </si>
  <si>
    <t>CMS/national average benchmark (Definitive Healthcare, CMS Hospital Compare)</t>
  </si>
  <si>
    <t>14.7%</t>
  </si>
  <si>
    <t>CMS HRRP low end (surgery/gynecology cohort)</t>
  </si>
  <si>
    <t>11.0%</t>
  </si>
  <si>
    <t>CMS HRRP high end (cardiovascular cohort)</t>
  </si>
  <si>
    <t>17.0%</t>
  </si>
  <si>
    <t>CONCLUSION: YES — 14% is a VALID benchmark. Published CMS/Medicare 30-day all-cause readmission data (via CMS Hospital Compare, summarized by Definitive Healthcare) puts the national hospital average at ~14.7%, with CMS's own Hospital Readmissions Reduction Program condition-specific FFS rates ranging 11% (surgery/gynecology) to 17% (cardiovascular). This sample's member-level rate of 13.5% sits comfortably inside that real-world range, just under the national average — a plausible, data-consistent result, not an outlier.</t>
  </si>
  <si>
    <t>H1: Does admission on Friday/weekend lead to delayed or reduced treatment?</t>
  </si>
  <si>
    <t>Admission Day</t>
  </si>
  <si>
    <t>Claims</t>
  </si>
  <si>
    <t>% With Procedure Recorded</t>
  </si>
  <si>
    <t>Monday</t>
  </si>
  <si>
    <t>Tuesday</t>
  </si>
  <si>
    <t>Wednesday</t>
  </si>
  <si>
    <t>Thursday</t>
  </si>
  <si>
    <t>Friday</t>
  </si>
  <si>
    <t>Saturday</t>
  </si>
  <si>
    <t>Sunday</t>
  </si>
  <si>
    <t>STATISTICAL TEST RESULTS</t>
  </si>
  <si>
    <t>LOS: Weekend vs Weekday (Mann-Whitney U)</t>
  </si>
  <si>
    <t>p = 0.2159</t>
  </si>
  <si>
    <t>Procedure documented: Weekend vs Weekday (Chi-square)</t>
  </si>
  <si>
    <t>p = 0.8725</t>
  </si>
  <si>
    <t>Payment: Weekend vs Weekday (Mann-Whitney U)</t>
  </si>
  <si>
    <t>p = 0.7421</t>
  </si>
  <si>
    <t>CONCLUSION:</t>
  </si>
  <si>
    <t>Data does NOT support the hypothesis. Weekend/Friday-admitted patients in this CMS sample show statistically indistinguishable LOS, procedure-documentation rate, and payment vs. weekday admissions (all p&gt;0.05). This aligns with published Medicare 'weekend effect' research, where any effect is small and highly condition-specific rather than a blanket delay in treatment.</t>
  </si>
  <si>
    <t>H3: Fast readmissions signal premature discharge / care-gap risk</t>
  </si>
  <si>
    <t>Index Admission Day</t>
  </si>
  <si>
    <t>Readmission Rate</t>
  </si>
  <si>
    <t>Prior DRG</t>
  </si>
  <si>
    <t>New DRG</t>
  </si>
  <si>
    <t>CONCLUSION: Hypothesis SUPPORTED. A 22%+ all-cause 30-day readmission rate, including same-day and next-day same-DRG bounce-backs, is materially above typical CMS national benchmarks (~15-18% for many DRGs) and flags a cohort for discharge-planning and payment-integrity review.</t>
  </si>
  <si>
    <t>.</t>
  </si>
  <si>
    <t>Hypothesis inspired by user: "if a patient is admitted on a certain date (e.g. a Friday/weekend), they will not get treated (promptly)." Tested generally as weekend vs. weekday admission using the day-of-week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</si>
</sst>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sz val="10"/>
      <name val="Arial"/>
    </font>
    <font>
      <b/>
      <sz val="10"/>
      <name val="Arial"/>
    </font>
    <font>
      <sz val="9"/>
      <name val="Arial"/>
    </font>
    <font>
      <b/>
      <sz val="10"/>
      <color rgb="FFFFFFFF"/>
      <name val="Arial"/>
    </font>
    <font>
      <b/>
      <sz val="14"/>
      <color rgb="FF1F3864"/>
      <name val="Arial"/>
    </font>
    <font>
      <i/>
      <sz val="9"/>
      <name val="Arial"/>
    </font>
    <font>
      <b/>
      <sz val="11"/>
      <color rgb="FF1F3864"/>
      <name val="Arial"/>
    </font>
    <font>
      <b/>
      <sz val="10"/>
      <color rgb="FF1F3864"/>
      <name val="Arial"/>
    </font>
    <font>
      <i/>
      <sz val="8"/>
      <color rgb="FF666666"/>
      <name val="Arial"/>
    </font>
    <font>
      <i/>
      <sz val="9"/>
      <color rgb="FF666666"/>
      <name val="Arial"/>
    </font>
    <font>
      <b/>
      <sz val="12"/>
      <color rgb="FFFFFFFF"/>
      <name val="Arial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31">
    <xf numFmtId="0" fontId="0" fillId="0" borderId="0" xfId="0"/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2" fillId="4" borderId="0" xfId="0" applyFont="1" applyFill="1"/>
    <xf numFmtId="0" fontId="3" fillId="4" borderId="0" xfId="0" applyFont="1" applyFill="1" applyAlignment="1">
      <alignment horizontal="center"/>
    </xf>
    <xf numFmtId="0" fontId="3" fillId="0" borderId="0" xfId="0" applyFont="1"/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3" fillId="6" borderId="0" xfId="0" applyFont="1" applyFill="1"/>
    <xf numFmtId="0" fontId="9" fillId="0" borderId="0" xfId="0" applyFont="1"/>
    <xf numFmtId="0" fontId="4" fillId="6" borderId="0" xfId="0" applyFont="1" applyFill="1"/>
    <xf numFmtId="0" fontId="3" fillId="5" borderId="0" xfId="0" applyFont="1" applyFill="1"/>
    <xf numFmtId="9" fontId="4" fillId="0" borderId="0" xfId="1" applyFont="1"/>
    <xf numFmtId="9" fontId="4" fillId="0" borderId="0" xfId="0" applyNumberFormat="1" applyFont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6" fillId="0" borderId="0" xfId="0" applyFont="1"/>
    <xf numFmtId="0" fontId="0" fillId="0" borderId="0" xfId="0"/>
    <xf numFmtId="0" fontId="10" fillId="0" borderId="0" xfId="0" applyFont="1"/>
    <xf numFmtId="0" fontId="1" fillId="0" borderId="0" xfId="0" applyFont="1"/>
    <xf numFmtId="0" fontId="7" fillId="0" borderId="0" xfId="0" applyFont="1"/>
    <xf numFmtId="0" fontId="3" fillId="3" borderId="0" xfId="0" applyFont="1" applyFill="1" applyAlignment="1">
      <alignment horizontal="center"/>
    </xf>
    <xf numFmtId="0" fontId="3" fillId="0" borderId="0" xfId="0" applyFont="1"/>
    <xf numFmtId="0" fontId="12" fillId="2" borderId="0" xfId="0" applyFont="1" applyFill="1"/>
    <xf numFmtId="0" fontId="11" fillId="0" borderId="0" xfId="0" applyFont="1"/>
    <xf numFmtId="0" fontId="3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Avg LOS &amp; % With Procedure by Admission Day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'H1 - Weekend Admission Effect'!$D$4</c:f>
              <c:strCache>
                <c:ptCount val="1"/>
                <c:pt idx="0">
                  <c:v>Avg LOS (days)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'H1 - Weekend Admission Effect'!$A$5:$A$11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'H1 - Weekend Admission Effect'!$D$5:$D$11</c:f>
              <c:numCache>
                <c:formatCode>General</c:formatCode>
                <c:ptCount val="7"/>
                <c:pt idx="0">
                  <c:v>5.9</c:v>
                </c:pt>
                <c:pt idx="1">
                  <c:v>6</c:v>
                </c:pt>
                <c:pt idx="2">
                  <c:v>5.5</c:v>
                </c:pt>
                <c:pt idx="3">
                  <c:v>5.7</c:v>
                </c:pt>
                <c:pt idx="4">
                  <c:v>6</c:v>
                </c:pt>
                <c:pt idx="5">
                  <c:v>5.5</c:v>
                </c:pt>
                <c:pt idx="6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0-4CD7-A3ED-5194BF274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30-Day Readmission Rate (%) by Index Admission Day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'H3 - 30-Day Readmissions'!$B$4</c:f>
              <c:strCache>
                <c:ptCount val="1"/>
                <c:pt idx="0">
                  <c:v>Readmission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'H3 - 30-Day Readmissions'!$A$5:$A$11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'H3 - 30-Day Readmissions'!$B$5:$B$11</c:f>
              <c:numCache>
                <c:formatCode>General</c:formatCode>
                <c:ptCount val="7"/>
                <c:pt idx="0">
                  <c:v>24.5</c:v>
                </c:pt>
                <c:pt idx="1">
                  <c:v>28.1</c:v>
                </c:pt>
                <c:pt idx="2">
                  <c:v>21.9</c:v>
                </c:pt>
                <c:pt idx="3">
                  <c:v>19.600000000000001</c:v>
                </c:pt>
                <c:pt idx="4">
                  <c:v>18.5</c:v>
                </c:pt>
                <c:pt idx="5">
                  <c:v>19.399999999999999</c:v>
                </c:pt>
                <c:pt idx="6">
                  <c:v>22.4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5-49CF-891F-D2023B3FE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</xdr:colOff>
      <xdr:row>4</xdr:row>
      <xdr:rowOff>60960</xdr:rowOff>
    </xdr:from>
    <xdr:ext cx="5334000" cy="3295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213360</xdr:colOff>
      <xdr:row>2</xdr:row>
      <xdr:rowOff>114300</xdr:rowOff>
    </xdr:from>
    <xdr:ext cx="6195060" cy="26517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showGridLines="0" workbookViewId="0"/>
  </sheetViews>
  <sheetFormatPr defaultRowHeight="14.4" x14ac:dyDescent="0.3"/>
  <cols>
    <col min="1" max="1" width="55" customWidth="1"/>
    <col min="2" max="2" width="16" customWidth="1"/>
    <col min="3" max="3" width="55" customWidth="1"/>
    <col min="4" max="4" width="16" customWidth="1"/>
  </cols>
  <sheetData>
    <row r="1" spans="1:4" ht="21" x14ac:dyDescent="0.4">
      <c r="A1" s="24" t="s">
        <v>0</v>
      </c>
      <c r="B1" s="22"/>
      <c r="C1" s="22"/>
      <c r="D1" s="22"/>
    </row>
    <row r="2" spans="1:4" ht="24" customHeight="1" x14ac:dyDescent="0.3">
      <c r="A2" s="29" t="s">
        <v>1</v>
      </c>
      <c r="B2" s="22"/>
      <c r="C2" s="22"/>
      <c r="D2" s="22"/>
    </row>
    <row r="4" spans="1:4" ht="15.6" x14ac:dyDescent="0.3">
      <c r="A4" s="28" t="s">
        <v>2</v>
      </c>
      <c r="B4" s="22"/>
      <c r="C4" s="22"/>
      <c r="D4" s="22"/>
    </row>
    <row r="5" spans="1:4" x14ac:dyDescent="0.3">
      <c r="A5" s="3" t="s">
        <v>3</v>
      </c>
      <c r="B5" s="4" t="s">
        <v>4</v>
      </c>
    </row>
    <row r="6" spans="1:4" x14ac:dyDescent="0.3">
      <c r="A6" s="1" t="s">
        <v>5</v>
      </c>
      <c r="B6" s="2" t="s">
        <v>6</v>
      </c>
    </row>
    <row r="7" spans="1:4" x14ac:dyDescent="0.3">
      <c r="A7" s="3" t="s">
        <v>7</v>
      </c>
      <c r="B7" s="4" t="s">
        <v>8</v>
      </c>
    </row>
    <row r="8" spans="1:4" x14ac:dyDescent="0.3">
      <c r="A8" s="1" t="s">
        <v>9</v>
      </c>
      <c r="B8" s="2" t="s">
        <v>10</v>
      </c>
    </row>
    <row r="9" spans="1:4" x14ac:dyDescent="0.3">
      <c r="A9" s="3" t="s">
        <v>11</v>
      </c>
      <c r="B9" s="4" t="s">
        <v>12</v>
      </c>
    </row>
    <row r="10" spans="1:4" x14ac:dyDescent="0.3">
      <c r="A10" s="1" t="s">
        <v>13</v>
      </c>
      <c r="B10" s="2" t="s">
        <v>14</v>
      </c>
    </row>
    <row r="12" spans="1:4" ht="15.6" x14ac:dyDescent="0.3">
      <c r="A12" s="28" t="s">
        <v>15</v>
      </c>
      <c r="B12" s="22"/>
      <c r="C12" s="22"/>
      <c r="D12" s="22"/>
    </row>
    <row r="13" spans="1:4" x14ac:dyDescent="0.3">
      <c r="A13" s="3" t="s">
        <v>16</v>
      </c>
      <c r="B13" s="30" t="s">
        <v>17</v>
      </c>
      <c r="C13" s="22"/>
      <c r="D13" s="22"/>
    </row>
    <row r="14" spans="1:4" x14ac:dyDescent="0.3">
      <c r="A14" s="1" t="s">
        <v>18</v>
      </c>
      <c r="B14" s="26" t="s">
        <v>19</v>
      </c>
      <c r="C14" s="22"/>
      <c r="D14" s="22"/>
    </row>
    <row r="15" spans="1:4" x14ac:dyDescent="0.3">
      <c r="A15" s="3" t="s">
        <v>20</v>
      </c>
      <c r="B15" s="30" t="s">
        <v>21</v>
      </c>
      <c r="C15" s="22"/>
      <c r="D15" s="22"/>
    </row>
    <row r="16" spans="1:4" x14ac:dyDescent="0.3">
      <c r="A16" s="1" t="s">
        <v>22</v>
      </c>
      <c r="B16" s="26" t="s">
        <v>23</v>
      </c>
      <c r="C16" s="22"/>
      <c r="D16" s="22"/>
    </row>
    <row r="17" spans="1:4" x14ac:dyDescent="0.3">
      <c r="A17" s="3" t="s">
        <v>24</v>
      </c>
      <c r="B17" s="30" t="s">
        <v>25</v>
      </c>
      <c r="C17" s="22"/>
      <c r="D17" s="22"/>
    </row>
    <row r="18" spans="1:4" x14ac:dyDescent="0.3">
      <c r="A18" s="1" t="s">
        <v>26</v>
      </c>
      <c r="B18" s="26" t="s">
        <v>27</v>
      </c>
      <c r="C18" s="22"/>
      <c r="D18" s="22"/>
    </row>
    <row r="20" spans="1:4" ht="15.6" x14ac:dyDescent="0.3">
      <c r="A20" s="28" t="s">
        <v>28</v>
      </c>
      <c r="B20" s="22"/>
      <c r="C20" s="22"/>
      <c r="D20" s="22"/>
    </row>
    <row r="21" spans="1:4" x14ac:dyDescent="0.3">
      <c r="A21" s="27" t="s">
        <v>29</v>
      </c>
      <c r="B21" s="22"/>
      <c r="C21" s="22"/>
      <c r="D21" s="22"/>
    </row>
    <row r="22" spans="1:4" x14ac:dyDescent="0.3">
      <c r="A22" s="14" t="s">
        <v>30</v>
      </c>
      <c r="B22" s="25" t="s">
        <v>31</v>
      </c>
      <c r="C22" s="22"/>
      <c r="D22" s="22"/>
    </row>
    <row r="24" spans="1:4" x14ac:dyDescent="0.3">
      <c r="A24" s="27" t="s">
        <v>32</v>
      </c>
      <c r="B24" s="22"/>
      <c r="C24" s="22"/>
      <c r="D24" s="22"/>
    </row>
    <row r="25" spans="1:4" x14ac:dyDescent="0.3">
      <c r="A25" s="14" t="s">
        <v>30</v>
      </c>
      <c r="B25" s="25" t="s">
        <v>33</v>
      </c>
      <c r="C25" s="22"/>
      <c r="D25" s="22"/>
    </row>
    <row r="27" spans="1:4" x14ac:dyDescent="0.3">
      <c r="A27" s="27" t="s">
        <v>34</v>
      </c>
      <c r="B27" s="22"/>
      <c r="C27" s="22"/>
      <c r="D27" s="22"/>
    </row>
    <row r="28" spans="1:4" x14ac:dyDescent="0.3">
      <c r="A28" s="11" t="s">
        <v>35</v>
      </c>
      <c r="B28" s="25" t="s">
        <v>36</v>
      </c>
      <c r="C28" s="22"/>
      <c r="D28" s="22"/>
    </row>
    <row r="30" spans="1:4" x14ac:dyDescent="0.3">
      <c r="A30" s="27" t="s">
        <v>37</v>
      </c>
      <c r="B30" s="22"/>
      <c r="C30" s="22"/>
      <c r="D30" s="22"/>
    </row>
    <row r="31" spans="1:4" x14ac:dyDescent="0.3">
      <c r="A31" s="11" t="s">
        <v>35</v>
      </c>
      <c r="B31" s="25" t="s">
        <v>38</v>
      </c>
      <c r="C31" s="22"/>
      <c r="D31" s="22"/>
    </row>
    <row r="33" spans="1:4" x14ac:dyDescent="0.3">
      <c r="A33" s="27" t="s">
        <v>39</v>
      </c>
      <c r="B33" s="22"/>
      <c r="C33" s="22"/>
      <c r="D33" s="22"/>
    </row>
    <row r="34" spans="1:4" x14ac:dyDescent="0.3">
      <c r="A34" s="11" t="s">
        <v>40</v>
      </c>
      <c r="B34" s="25" t="s">
        <v>41</v>
      </c>
      <c r="C34" s="22"/>
      <c r="D34" s="22"/>
    </row>
    <row r="36" spans="1:4" x14ac:dyDescent="0.3">
      <c r="A36" s="23" t="s">
        <v>42</v>
      </c>
      <c r="B36" s="22"/>
      <c r="C36" s="22"/>
      <c r="D36" s="22"/>
    </row>
  </sheetData>
  <mergeCells count="22">
    <mergeCell ref="B15:D15"/>
    <mergeCell ref="B14:D14"/>
    <mergeCell ref="A4:D4"/>
    <mergeCell ref="A20:D20"/>
    <mergeCell ref="B17:D17"/>
    <mergeCell ref="B13:D13"/>
    <mergeCell ref="A36:D36"/>
    <mergeCell ref="A1:D1"/>
    <mergeCell ref="B25:D25"/>
    <mergeCell ref="B16:D16"/>
    <mergeCell ref="A27:D27"/>
    <mergeCell ref="B31:D31"/>
    <mergeCell ref="A12:D12"/>
    <mergeCell ref="B22:D22"/>
    <mergeCell ref="A21:D21"/>
    <mergeCell ref="B18:D18"/>
    <mergeCell ref="A2:D2"/>
    <mergeCell ref="A33:D33"/>
    <mergeCell ref="B34:D34"/>
    <mergeCell ref="B28:D28"/>
    <mergeCell ref="A30:D30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4" topLeftCell="A15" activePane="bottomLeft" state="frozen"/>
      <selection pane="bottomLeft" activeCell="A15" sqref="A14:XFD15"/>
    </sheetView>
  </sheetViews>
  <sheetFormatPr defaultRowHeight="14.4" x14ac:dyDescent="0.3"/>
  <cols>
    <col min="1" max="1" width="93.6640625" bestFit="1" customWidth="1"/>
    <col min="2" max="2" width="22" customWidth="1"/>
    <col min="5" max="5" width="54.6640625" bestFit="1" customWidth="1"/>
    <col min="6" max="6" width="7.6640625" bestFit="1" customWidth="1"/>
  </cols>
  <sheetData>
    <row r="1" spans="1:6" ht="17.399999999999999" x14ac:dyDescent="0.3">
      <c r="A1" s="21" t="s">
        <v>43</v>
      </c>
      <c r="B1" s="22"/>
      <c r="C1" s="22"/>
      <c r="D1" s="22"/>
      <c r="E1" s="22"/>
      <c r="F1" s="22"/>
    </row>
    <row r="2" spans="1:6" x14ac:dyDescent="0.3">
      <c r="A2" s="25"/>
      <c r="B2" s="22"/>
      <c r="C2" s="22"/>
      <c r="D2" s="22"/>
      <c r="E2" s="9" t="s">
        <v>51</v>
      </c>
    </row>
    <row r="3" spans="1:6" ht="26.4" x14ac:dyDescent="0.3">
      <c r="E3" s="6" t="s">
        <v>52</v>
      </c>
      <c r="F3" s="6" t="s">
        <v>50</v>
      </c>
    </row>
    <row r="4" spans="1:6" x14ac:dyDescent="0.3">
      <c r="A4" s="6" t="s">
        <v>44</v>
      </c>
      <c r="B4" s="6" t="s">
        <v>45</v>
      </c>
      <c r="E4" s="7">
        <v>886</v>
      </c>
      <c r="F4" s="7">
        <v>0.48</v>
      </c>
    </row>
    <row r="5" spans="1:6" x14ac:dyDescent="0.3">
      <c r="A5" s="7" t="s">
        <v>46</v>
      </c>
      <c r="B5" s="15">
        <v>0.6</v>
      </c>
      <c r="E5" s="7">
        <v>208</v>
      </c>
      <c r="F5" s="7">
        <v>0.48</v>
      </c>
    </row>
    <row r="6" spans="1:6" x14ac:dyDescent="0.3">
      <c r="A6" s="7" t="s">
        <v>47</v>
      </c>
      <c r="B6" s="15">
        <v>0.22</v>
      </c>
      <c r="E6" s="7">
        <v>948</v>
      </c>
      <c r="F6" s="7">
        <v>0.47</v>
      </c>
    </row>
    <row r="7" spans="1:6" x14ac:dyDescent="0.3">
      <c r="A7" s="7" t="s">
        <v>48</v>
      </c>
      <c r="B7" s="15">
        <v>0.11</v>
      </c>
      <c r="E7" s="7">
        <v>885</v>
      </c>
      <c r="F7" s="7">
        <v>0.47</v>
      </c>
    </row>
    <row r="8" spans="1:6" x14ac:dyDescent="0.3">
      <c r="A8" s="7" t="s">
        <v>49</v>
      </c>
      <c r="B8" s="15">
        <v>7.0000000000000007E-2</v>
      </c>
      <c r="E8" s="7">
        <v>883</v>
      </c>
      <c r="F8" s="7">
        <v>0.45</v>
      </c>
    </row>
    <row r="9" spans="1:6" x14ac:dyDescent="0.3">
      <c r="E9" s="7">
        <v>180</v>
      </c>
      <c r="F9" s="7">
        <v>0.45</v>
      </c>
    </row>
    <row r="10" spans="1:6" x14ac:dyDescent="0.3">
      <c r="E10" s="7">
        <v>882</v>
      </c>
      <c r="F10" s="7">
        <v>0.45</v>
      </c>
    </row>
    <row r="11" spans="1:6" x14ac:dyDescent="0.3">
      <c r="E11" s="7">
        <v>191</v>
      </c>
      <c r="F11" s="7">
        <v>0.45</v>
      </c>
    </row>
    <row r="12" spans="1:6" x14ac:dyDescent="0.3">
      <c r="E12" s="7">
        <v>876</v>
      </c>
      <c r="F12" s="7">
        <v>0.45</v>
      </c>
    </row>
    <row r="13" spans="1:6" x14ac:dyDescent="0.3">
      <c r="E13" s="7">
        <v>166</v>
      </c>
      <c r="F13" s="7">
        <v>0.43</v>
      </c>
    </row>
  </sheetData>
  <mergeCells count="2">
    <mergeCell ref="A2:D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"/>
  <sheetViews>
    <sheetView workbookViewId="0">
      <pane ySplit="22" topLeftCell="A23" activePane="bottomLeft" state="frozen"/>
      <selection pane="bottomLeft" activeCell="K6" sqref="K6"/>
    </sheetView>
  </sheetViews>
  <sheetFormatPr defaultRowHeight="14.4" x14ac:dyDescent="0.3"/>
  <cols>
    <col min="1" max="1" width="16" customWidth="1"/>
    <col min="2" max="2" width="11.33203125" bestFit="1" customWidth="1"/>
    <col min="11" max="11" width="37.109375" bestFit="1" customWidth="1"/>
    <col min="17" max="17" width="42.21875" bestFit="1" customWidth="1"/>
    <col min="21" max="21" width="44.77734375" bestFit="1" customWidth="1"/>
  </cols>
  <sheetData>
    <row r="1" spans="1:22" ht="17.399999999999999" x14ac:dyDescent="0.3">
      <c r="A1" s="21" t="s">
        <v>53</v>
      </c>
      <c r="B1" s="22"/>
      <c r="C1" s="22"/>
      <c r="D1" s="22"/>
      <c r="E1" s="22"/>
      <c r="F1" s="22"/>
    </row>
    <row r="3" spans="1:22" x14ac:dyDescent="0.3">
      <c r="A3" s="9" t="s">
        <v>54</v>
      </c>
      <c r="D3" s="9" t="s">
        <v>58</v>
      </c>
      <c r="G3" s="9" t="s">
        <v>64</v>
      </c>
    </row>
    <row r="4" spans="1:22" ht="26.4" x14ac:dyDescent="0.3">
      <c r="A4" s="6" t="s">
        <v>55</v>
      </c>
      <c r="B4" s="6" t="s">
        <v>45</v>
      </c>
      <c r="D4" s="6" t="s">
        <v>59</v>
      </c>
      <c r="E4" s="6" t="s">
        <v>45</v>
      </c>
      <c r="G4" s="6" t="s">
        <v>65</v>
      </c>
      <c r="H4" s="6" t="s">
        <v>45</v>
      </c>
      <c r="K4" s="9" t="s">
        <v>69</v>
      </c>
      <c r="Q4" s="9" t="s">
        <v>94</v>
      </c>
      <c r="U4" s="9" t="s">
        <v>82</v>
      </c>
    </row>
    <row r="5" spans="1:22" ht="26.4" x14ac:dyDescent="0.3">
      <c r="A5" s="7" t="s">
        <v>56</v>
      </c>
      <c r="B5" s="15">
        <v>0.55000000000000004</v>
      </c>
      <c r="D5" s="7" t="s">
        <v>60</v>
      </c>
      <c r="E5" s="15">
        <v>0.84</v>
      </c>
      <c r="G5" s="7" t="s">
        <v>66</v>
      </c>
      <c r="H5" s="16">
        <v>0.48</v>
      </c>
      <c r="K5" s="6" t="s">
        <v>70</v>
      </c>
      <c r="L5" s="6" t="s">
        <v>45</v>
      </c>
      <c r="Q5" s="6" t="s">
        <v>83</v>
      </c>
      <c r="R5" s="6" t="s">
        <v>95</v>
      </c>
      <c r="U5" s="6" t="s">
        <v>83</v>
      </c>
      <c r="V5" s="6" t="s">
        <v>45</v>
      </c>
    </row>
    <row r="6" spans="1:22" x14ac:dyDescent="0.3">
      <c r="A6" s="7" t="s">
        <v>57</v>
      </c>
      <c r="B6" s="15">
        <v>0.45</v>
      </c>
      <c r="D6" s="7" t="s">
        <v>61</v>
      </c>
      <c r="E6" s="15">
        <v>0.11</v>
      </c>
      <c r="G6" s="7" t="s">
        <v>67</v>
      </c>
      <c r="H6" s="16">
        <v>0.44</v>
      </c>
      <c r="K6" s="7" t="s">
        <v>71</v>
      </c>
      <c r="L6" s="7">
        <v>69.2</v>
      </c>
      <c r="Q6" s="7" t="s">
        <v>84</v>
      </c>
      <c r="R6" s="17"/>
      <c r="U6" s="7" t="s">
        <v>84</v>
      </c>
      <c r="V6" s="17"/>
    </row>
    <row r="7" spans="1:22" x14ac:dyDescent="0.3">
      <c r="D7" s="7" t="s">
        <v>62</v>
      </c>
      <c r="E7" s="15">
        <v>0.03</v>
      </c>
      <c r="G7" s="7" t="s">
        <v>68</v>
      </c>
      <c r="H7" s="16">
        <v>0.18</v>
      </c>
      <c r="K7" s="7" t="s">
        <v>72</v>
      </c>
      <c r="L7" s="7">
        <v>64.2</v>
      </c>
      <c r="Q7" s="7" t="s">
        <v>85</v>
      </c>
      <c r="R7" s="17" t="s">
        <v>155</v>
      </c>
      <c r="U7" s="7" t="s">
        <v>85</v>
      </c>
      <c r="V7" s="17"/>
    </row>
    <row r="8" spans="1:22" x14ac:dyDescent="0.3">
      <c r="D8" s="7" t="s">
        <v>63</v>
      </c>
      <c r="E8" s="15">
        <v>0.02</v>
      </c>
      <c r="K8" s="7" t="s">
        <v>73</v>
      </c>
      <c r="L8" s="7">
        <v>53.7</v>
      </c>
      <c r="Q8" s="7" t="s">
        <v>86</v>
      </c>
      <c r="R8" s="17"/>
      <c r="U8" s="7" t="s">
        <v>86</v>
      </c>
      <c r="V8" s="17"/>
    </row>
    <row r="9" spans="1:22" x14ac:dyDescent="0.3">
      <c r="K9" s="7" t="s">
        <v>74</v>
      </c>
      <c r="L9" s="7">
        <v>37.799999999999997</v>
      </c>
      <c r="Q9" s="7" t="s">
        <v>87</v>
      </c>
      <c r="R9" s="20"/>
      <c r="U9" s="7" t="s">
        <v>87</v>
      </c>
      <c r="V9" s="18"/>
    </row>
    <row r="10" spans="1:22" x14ac:dyDescent="0.3">
      <c r="K10" s="7" t="s">
        <v>75</v>
      </c>
      <c r="L10" s="7">
        <v>36.9</v>
      </c>
      <c r="Q10" s="7" t="s">
        <v>89</v>
      </c>
      <c r="R10" s="20"/>
      <c r="U10" s="7" t="s">
        <v>88</v>
      </c>
      <c r="V10" s="18"/>
    </row>
    <row r="11" spans="1:22" x14ac:dyDescent="0.3">
      <c r="K11" s="7" t="s">
        <v>76</v>
      </c>
      <c r="L11" s="7">
        <v>35.6</v>
      </c>
      <c r="Q11" s="7" t="s">
        <v>88</v>
      </c>
      <c r="R11" s="20"/>
      <c r="U11" s="7" t="s">
        <v>89</v>
      </c>
      <c r="V11" s="18"/>
    </row>
    <row r="12" spans="1:22" x14ac:dyDescent="0.3">
      <c r="K12" s="7" t="s">
        <v>77</v>
      </c>
      <c r="L12" s="7">
        <v>29.2</v>
      </c>
      <c r="Q12" s="7" t="s">
        <v>90</v>
      </c>
      <c r="R12" s="19"/>
      <c r="U12" s="7" t="s">
        <v>90</v>
      </c>
      <c r="V12" s="19"/>
    </row>
    <row r="13" spans="1:22" x14ac:dyDescent="0.3">
      <c r="K13" s="7" t="s">
        <v>78</v>
      </c>
      <c r="L13" s="7">
        <v>28.4</v>
      </c>
      <c r="Q13" s="7" t="s">
        <v>92</v>
      </c>
      <c r="R13" s="19"/>
      <c r="U13" s="7" t="s">
        <v>91</v>
      </c>
      <c r="V13" s="19"/>
    </row>
    <row r="14" spans="1:22" x14ac:dyDescent="0.3">
      <c r="K14" s="7" t="s">
        <v>79</v>
      </c>
      <c r="L14" s="7">
        <v>28</v>
      </c>
      <c r="Q14" s="7" t="s">
        <v>96</v>
      </c>
      <c r="R14" s="19"/>
      <c r="U14" s="7" t="s">
        <v>92</v>
      </c>
      <c r="V14" s="19"/>
    </row>
    <row r="15" spans="1:22" x14ac:dyDescent="0.3">
      <c r="K15" s="7" t="s">
        <v>80</v>
      </c>
      <c r="L15" s="7">
        <v>11.8</v>
      </c>
      <c r="Q15" s="7" t="s">
        <v>91</v>
      </c>
      <c r="R15" s="19"/>
      <c r="U15" s="7" t="s">
        <v>93</v>
      </c>
      <c r="V15" s="19"/>
    </row>
    <row r="16" spans="1:22" x14ac:dyDescent="0.3">
      <c r="K16" s="7" t="s">
        <v>81</v>
      </c>
      <c r="L16" s="7">
        <v>11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pane ySplit="12" topLeftCell="A13" activePane="bottomLeft" state="frozen"/>
      <selection pane="bottomLeft" activeCell="K11" sqref="K11"/>
    </sheetView>
  </sheetViews>
  <sheetFormatPr defaultRowHeight="14.4" x14ac:dyDescent="0.3"/>
  <cols>
    <col min="1" max="1" width="32" customWidth="1"/>
    <col min="2" max="2" width="9" customWidth="1"/>
    <col min="3" max="4" width="17" customWidth="1"/>
  </cols>
  <sheetData>
    <row r="1" spans="1:6" ht="17.399999999999999" x14ac:dyDescent="0.3">
      <c r="A1" s="21" t="s">
        <v>97</v>
      </c>
      <c r="B1" s="22"/>
      <c r="C1" s="22"/>
      <c r="D1" s="22"/>
      <c r="E1" s="22"/>
      <c r="F1" s="22"/>
    </row>
    <row r="2" spans="1:6" ht="28.05" customHeight="1" x14ac:dyDescent="0.3">
      <c r="A2" s="25" t="s">
        <v>98</v>
      </c>
      <c r="B2" s="22"/>
      <c r="C2" s="22"/>
      <c r="D2" s="22"/>
      <c r="E2" s="22"/>
      <c r="F2" s="22"/>
    </row>
    <row r="5" spans="1:6" x14ac:dyDescent="0.3">
      <c r="A5" s="12" t="s">
        <v>103</v>
      </c>
    </row>
    <row r="6" spans="1:6" ht="66" x14ac:dyDescent="0.3">
      <c r="A6" s="6" t="s">
        <v>99</v>
      </c>
      <c r="B6" s="6" t="s">
        <v>100</v>
      </c>
      <c r="C6" s="6" t="s">
        <v>101</v>
      </c>
      <c r="D6" s="6" t="s">
        <v>102</v>
      </c>
    </row>
    <row r="7" spans="1:6" x14ac:dyDescent="0.3">
      <c r="A7" s="7" t="s">
        <v>104</v>
      </c>
      <c r="B7" s="7">
        <v>54.7</v>
      </c>
      <c r="C7" s="7">
        <v>5.25</v>
      </c>
      <c r="D7" s="7">
        <v>8405</v>
      </c>
    </row>
    <row r="8" spans="1:6" x14ac:dyDescent="0.3">
      <c r="A8" s="7" t="s">
        <v>105</v>
      </c>
      <c r="B8" s="7">
        <v>57.5</v>
      </c>
      <c r="C8" s="7">
        <v>5.75</v>
      </c>
      <c r="D8" s="7">
        <v>9676</v>
      </c>
    </row>
    <row r="11" spans="1:6" x14ac:dyDescent="0.3">
      <c r="A11" s="12" t="s">
        <v>106</v>
      </c>
    </row>
    <row r="12" spans="1:6" x14ac:dyDescent="0.3">
      <c r="A12" s="6" t="s">
        <v>107</v>
      </c>
      <c r="B12" s="6" t="s">
        <v>108</v>
      </c>
      <c r="C12" s="6" t="s">
        <v>109</v>
      </c>
    </row>
    <row r="13" spans="1:6" x14ac:dyDescent="0.3">
      <c r="A13" s="7" t="s">
        <v>110</v>
      </c>
      <c r="B13" s="7">
        <v>0.61560000000000004</v>
      </c>
      <c r="C13" s="13" t="s">
        <v>111</v>
      </c>
    </row>
    <row r="14" spans="1:6" x14ac:dyDescent="0.3">
      <c r="A14" s="7" t="s">
        <v>112</v>
      </c>
      <c r="B14" s="7">
        <v>0.60709999999999997</v>
      </c>
      <c r="C14" s="13" t="s">
        <v>111</v>
      </c>
    </row>
    <row r="15" spans="1:6" x14ac:dyDescent="0.3">
      <c r="A15" s="7" t="s">
        <v>113</v>
      </c>
      <c r="B15" s="7">
        <v>0.34079999999999999</v>
      </c>
      <c r="C15" s="13" t="s">
        <v>111</v>
      </c>
    </row>
    <row r="18" spans="1:6" ht="55.05" customHeight="1" x14ac:dyDescent="0.3">
      <c r="A18" s="25" t="s">
        <v>114</v>
      </c>
      <c r="B18" s="22"/>
      <c r="C18" s="22"/>
      <c r="D18" s="22"/>
      <c r="E18" s="22"/>
      <c r="F18" s="22"/>
    </row>
  </sheetData>
  <mergeCells count="3">
    <mergeCell ref="A18:F18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>
      <pane ySplit="7" topLeftCell="A8" activePane="bottomLeft" state="frozen"/>
      <selection pane="bottomLeft" activeCell="A3" sqref="A3:F3"/>
    </sheetView>
  </sheetViews>
  <sheetFormatPr defaultRowHeight="14.4" x14ac:dyDescent="0.3"/>
  <cols>
    <col min="1" max="1" width="60.6640625" bestFit="1" customWidth="1"/>
    <col min="2" max="2" width="5.77734375" bestFit="1" customWidth="1"/>
  </cols>
  <sheetData>
    <row r="1" spans="1:6" ht="17.399999999999999" x14ac:dyDescent="0.3">
      <c r="A1" s="21" t="s">
        <v>115</v>
      </c>
      <c r="B1" s="22"/>
      <c r="C1" s="22"/>
      <c r="D1" s="22"/>
      <c r="E1" s="22"/>
      <c r="F1" s="22"/>
    </row>
    <row r="3" spans="1:6" x14ac:dyDescent="0.3">
      <c r="A3" s="25" t="s">
        <v>116</v>
      </c>
      <c r="B3" s="22"/>
      <c r="C3" s="22"/>
      <c r="D3" s="22"/>
      <c r="E3" s="22"/>
      <c r="F3" s="22"/>
    </row>
    <row r="6" spans="1:6" x14ac:dyDescent="0.3">
      <c r="A6" s="9" t="s">
        <v>118</v>
      </c>
    </row>
    <row r="7" spans="1:6" x14ac:dyDescent="0.3">
      <c r="A7" s="6" t="s">
        <v>119</v>
      </c>
      <c r="B7" s="6" t="s">
        <v>120</v>
      </c>
    </row>
    <row r="8" spans="1:6" x14ac:dyDescent="0.3">
      <c r="A8" s="17" t="s">
        <v>121</v>
      </c>
      <c r="B8" s="7" t="s">
        <v>117</v>
      </c>
    </row>
    <row r="9" spans="1:6" x14ac:dyDescent="0.3">
      <c r="A9" s="7" t="s">
        <v>122</v>
      </c>
      <c r="B9" s="7" t="s">
        <v>123</v>
      </c>
    </row>
    <row r="10" spans="1:6" x14ac:dyDescent="0.3">
      <c r="A10" s="7" t="s">
        <v>124</v>
      </c>
      <c r="B10" s="7" t="s">
        <v>125</v>
      </c>
    </row>
    <row r="11" spans="1:6" x14ac:dyDescent="0.3">
      <c r="A11" s="7" t="s">
        <v>126</v>
      </c>
      <c r="B11" s="7" t="s">
        <v>127</v>
      </c>
    </row>
    <row r="17" spans="1:6" ht="55.05" customHeight="1" x14ac:dyDescent="0.3">
      <c r="A17" s="25" t="s">
        <v>128</v>
      </c>
      <c r="B17" s="22"/>
      <c r="C17" s="22"/>
      <c r="D17" s="22"/>
      <c r="E17" s="22"/>
      <c r="F17" s="22"/>
    </row>
  </sheetData>
  <mergeCells count="3">
    <mergeCell ref="A17:F17"/>
    <mergeCell ref="A1:F1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>
      <pane ySplit="4" topLeftCell="A5" activePane="bottomLeft" state="frozen"/>
      <selection pane="bottomLeft" activeCell="C14" sqref="C14"/>
    </sheetView>
  </sheetViews>
  <sheetFormatPr defaultRowHeight="14.4" x14ac:dyDescent="0.3"/>
  <cols>
    <col min="1" max="1" width="15" customWidth="1"/>
    <col min="2" max="2" width="8" customWidth="1"/>
    <col min="3" max="3" width="27" customWidth="1"/>
    <col min="4" max="4" width="16" customWidth="1"/>
    <col min="5" max="5" width="17" customWidth="1"/>
  </cols>
  <sheetData>
    <row r="1" spans="1:6" ht="17.399999999999999" x14ac:dyDescent="0.3">
      <c r="A1" s="21" t="s">
        <v>129</v>
      </c>
      <c r="B1" s="22"/>
      <c r="C1" s="22"/>
      <c r="D1" s="22"/>
      <c r="E1" s="22"/>
      <c r="F1" s="22"/>
    </row>
    <row r="2" spans="1:6" ht="30" customHeight="1" x14ac:dyDescent="0.3">
      <c r="A2" s="25" t="s">
        <v>156</v>
      </c>
      <c r="B2" s="22"/>
      <c r="C2" s="22"/>
      <c r="D2" s="22"/>
      <c r="E2" s="22"/>
      <c r="F2" s="22"/>
    </row>
    <row r="4" spans="1:6" x14ac:dyDescent="0.3">
      <c r="A4" s="6" t="s">
        <v>130</v>
      </c>
      <c r="B4" s="6" t="s">
        <v>131</v>
      </c>
      <c r="C4" s="6" t="s">
        <v>132</v>
      </c>
      <c r="D4" s="6" t="s">
        <v>101</v>
      </c>
      <c r="E4" s="6" t="s">
        <v>102</v>
      </c>
    </row>
    <row r="5" spans="1:6" x14ac:dyDescent="0.3">
      <c r="A5" s="7" t="s">
        <v>133</v>
      </c>
      <c r="B5" s="7">
        <v>870</v>
      </c>
      <c r="C5" s="7">
        <v>56.8</v>
      </c>
      <c r="D5" s="7">
        <v>5.9</v>
      </c>
      <c r="E5" s="7">
        <v>9975.7999999999993</v>
      </c>
    </row>
    <row r="6" spans="1:6" x14ac:dyDescent="0.3">
      <c r="A6" s="7" t="s">
        <v>134</v>
      </c>
      <c r="B6" s="7">
        <v>806</v>
      </c>
      <c r="C6" s="7">
        <v>56.1</v>
      </c>
      <c r="D6" s="7">
        <v>6</v>
      </c>
      <c r="E6" s="7">
        <v>9165.7999999999993</v>
      </c>
    </row>
    <row r="7" spans="1:6" x14ac:dyDescent="0.3">
      <c r="A7" s="7" t="s">
        <v>135</v>
      </c>
      <c r="B7" s="7">
        <v>851</v>
      </c>
      <c r="C7" s="7">
        <v>57.7</v>
      </c>
      <c r="D7" s="7">
        <v>5.5</v>
      </c>
      <c r="E7" s="7">
        <v>9548.7999999999993</v>
      </c>
    </row>
    <row r="8" spans="1:6" x14ac:dyDescent="0.3">
      <c r="A8" s="7" t="s">
        <v>136</v>
      </c>
      <c r="B8" s="7">
        <v>798</v>
      </c>
      <c r="C8" s="7">
        <v>58.5</v>
      </c>
      <c r="D8" s="7">
        <v>5.7</v>
      </c>
      <c r="E8" s="7">
        <v>9764.4</v>
      </c>
    </row>
    <row r="9" spans="1:6" x14ac:dyDescent="0.3">
      <c r="A9" s="7" t="s">
        <v>137</v>
      </c>
      <c r="B9" s="7">
        <v>783</v>
      </c>
      <c r="C9" s="7">
        <v>57.9</v>
      </c>
      <c r="D9" s="7">
        <v>6</v>
      </c>
      <c r="E9" s="7">
        <v>10244.6</v>
      </c>
    </row>
    <row r="10" spans="1:6" x14ac:dyDescent="0.3">
      <c r="A10" s="7" t="s">
        <v>138</v>
      </c>
      <c r="B10" s="7">
        <v>825</v>
      </c>
      <c r="C10" s="7">
        <v>56.8</v>
      </c>
      <c r="D10" s="7">
        <v>5.5</v>
      </c>
      <c r="E10" s="7">
        <v>9279.2000000000007</v>
      </c>
    </row>
    <row r="11" spans="1:6" x14ac:dyDescent="0.3">
      <c r="A11" s="7" t="s">
        <v>139</v>
      </c>
      <c r="B11" s="7">
        <v>842</v>
      </c>
      <c r="C11" s="7">
        <v>58.4</v>
      </c>
      <c r="D11" s="7">
        <v>5.7</v>
      </c>
      <c r="E11" s="7">
        <v>9584.1</v>
      </c>
    </row>
    <row r="14" spans="1:6" x14ac:dyDescent="0.3">
      <c r="A14" s="9" t="s">
        <v>140</v>
      </c>
    </row>
    <row r="15" spans="1:6" x14ac:dyDescent="0.3">
      <c r="A15" s="10" t="s">
        <v>141</v>
      </c>
      <c r="C15" s="10" t="s">
        <v>142</v>
      </c>
      <c r="D15" s="11" t="s">
        <v>111</v>
      </c>
    </row>
    <row r="16" spans="1:6" x14ac:dyDescent="0.3">
      <c r="A16" s="10" t="s">
        <v>143</v>
      </c>
      <c r="C16" s="10" t="s">
        <v>144</v>
      </c>
      <c r="D16" s="11" t="s">
        <v>111</v>
      </c>
    </row>
    <row r="17" spans="1:6" x14ac:dyDescent="0.3">
      <c r="A17" s="10" t="s">
        <v>145</v>
      </c>
      <c r="C17" s="10" t="s">
        <v>146</v>
      </c>
      <c r="D17" s="11" t="s">
        <v>111</v>
      </c>
    </row>
    <row r="19" spans="1:6" x14ac:dyDescent="0.3">
      <c r="A19" s="5" t="s">
        <v>147</v>
      </c>
    </row>
    <row r="20" spans="1:6" ht="45" customHeight="1" x14ac:dyDescent="0.3">
      <c r="A20" s="25" t="s">
        <v>148</v>
      </c>
      <c r="B20" s="22"/>
      <c r="C20" s="22"/>
      <c r="D20" s="22"/>
      <c r="E20" s="22"/>
      <c r="F20" s="22"/>
    </row>
  </sheetData>
  <mergeCells count="3">
    <mergeCell ref="A20:F20"/>
    <mergeCell ref="A2:F2"/>
    <mergeCell ref="A1:F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3"/>
  <sheetViews>
    <sheetView tabSelected="1" workbookViewId="0">
      <pane ySplit="20" topLeftCell="A21" activePane="bottomLeft" state="frozen"/>
      <selection pane="bottomLeft" activeCell="H25" sqref="H25"/>
    </sheetView>
  </sheetViews>
  <sheetFormatPr defaultRowHeight="14.4" x14ac:dyDescent="0.3"/>
  <cols>
    <col min="1" max="1" width="18" customWidth="1"/>
    <col min="2" max="2" width="11" customWidth="1"/>
    <col min="3" max="3" width="9" customWidth="1"/>
    <col min="4" max="4" width="17" customWidth="1"/>
    <col min="5" max="5" width="15" customWidth="1"/>
    <col min="6" max="6" width="10" customWidth="1"/>
    <col min="7" max="7" width="23" customWidth="1"/>
  </cols>
  <sheetData>
    <row r="1" spans="1:15" ht="17.399999999999999" x14ac:dyDescent="0.3">
      <c r="A1" s="21" t="s">
        <v>149</v>
      </c>
      <c r="B1" s="22"/>
      <c r="C1" s="22"/>
      <c r="D1" s="22"/>
      <c r="E1" s="22"/>
      <c r="F1" s="22"/>
      <c r="G1" s="22"/>
      <c r="H1" s="22"/>
    </row>
    <row r="2" spans="1:15" ht="26.4" x14ac:dyDescent="0.3">
      <c r="N2" s="6" t="s">
        <v>152</v>
      </c>
      <c r="O2" s="6" t="s">
        <v>153</v>
      </c>
    </row>
    <row r="3" spans="1:15" x14ac:dyDescent="0.3">
      <c r="N3" s="7">
        <v>291</v>
      </c>
      <c r="O3" s="7">
        <v>871</v>
      </c>
    </row>
    <row r="4" spans="1:15" ht="26.4" x14ac:dyDescent="0.3">
      <c r="A4" s="6" t="s">
        <v>150</v>
      </c>
      <c r="B4" s="6" t="s">
        <v>151</v>
      </c>
      <c r="N4" s="7">
        <v>189</v>
      </c>
      <c r="O4" s="7">
        <v>951</v>
      </c>
    </row>
    <row r="5" spans="1:15" x14ac:dyDescent="0.3">
      <c r="A5" s="7" t="s">
        <v>133</v>
      </c>
      <c r="B5" s="7">
        <v>24.5</v>
      </c>
      <c r="N5" s="7">
        <v>470</v>
      </c>
      <c r="O5" s="7">
        <v>335</v>
      </c>
    </row>
    <row r="6" spans="1:15" x14ac:dyDescent="0.3">
      <c r="A6" s="7" t="s">
        <v>134</v>
      </c>
      <c r="B6" s="7">
        <v>28.1</v>
      </c>
      <c r="N6" s="7">
        <v>659</v>
      </c>
      <c r="O6" s="7">
        <v>941</v>
      </c>
    </row>
    <row r="7" spans="1:15" x14ac:dyDescent="0.3">
      <c r="A7" s="7" t="s">
        <v>135</v>
      </c>
      <c r="B7" s="7">
        <v>21.9</v>
      </c>
      <c r="N7" s="7">
        <v>372</v>
      </c>
      <c r="O7" s="7">
        <v>203</v>
      </c>
    </row>
    <row r="8" spans="1:15" x14ac:dyDescent="0.3">
      <c r="A8" s="7" t="s">
        <v>136</v>
      </c>
      <c r="B8" s="7">
        <v>19.600000000000001</v>
      </c>
      <c r="N8" s="7">
        <v>594</v>
      </c>
      <c r="O8" s="7">
        <v>207</v>
      </c>
    </row>
    <row r="9" spans="1:15" x14ac:dyDescent="0.3">
      <c r="A9" s="7" t="s">
        <v>137</v>
      </c>
      <c r="B9" s="7">
        <v>18.5</v>
      </c>
      <c r="N9" s="7">
        <v>184</v>
      </c>
      <c r="O9" s="7">
        <v>221</v>
      </c>
    </row>
    <row r="10" spans="1:15" x14ac:dyDescent="0.3">
      <c r="A10" s="7" t="s">
        <v>138</v>
      </c>
      <c r="B10" s="7">
        <v>19.399999999999999</v>
      </c>
      <c r="N10" s="7">
        <v>184</v>
      </c>
      <c r="O10" s="7">
        <v>185</v>
      </c>
    </row>
    <row r="11" spans="1:15" x14ac:dyDescent="0.3">
      <c r="A11" s="7" t="s">
        <v>139</v>
      </c>
      <c r="B11" s="7">
        <v>22.4</v>
      </c>
      <c r="N11" s="7">
        <v>181</v>
      </c>
      <c r="O11" s="7">
        <v>392</v>
      </c>
    </row>
    <row r="12" spans="1:15" x14ac:dyDescent="0.3">
      <c r="N12" s="7">
        <v>207</v>
      </c>
      <c r="O12" s="7">
        <v>191</v>
      </c>
    </row>
    <row r="21" spans="1:1" x14ac:dyDescent="0.3">
      <c r="A21" s="8" t="s">
        <v>154</v>
      </c>
    </row>
    <row r="33" ht="30" customHeight="1" x14ac:dyDescent="0.3"/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1. Member vs DRG Codes</vt:lpstr>
      <vt:lpstr>2. Demographics &amp; Location</vt:lpstr>
      <vt:lpstr>3. July 1st Admission Effect</vt:lpstr>
      <vt:lpstr>4. Readmission Eligibility</vt:lpstr>
      <vt:lpstr>H1 - Weekend Admission Effect</vt:lpstr>
      <vt:lpstr>H3 - 30-Day Readmissions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Anbarasan PM</cp:lastModifiedBy>
  <dcterms:created xsi:type="dcterms:W3CDTF">2026-07-13T17:34:25Z</dcterms:created>
  <dcterms:modified xsi:type="dcterms:W3CDTF">2026-07-14T04:55:52Z</dcterms:modified>
</cp:coreProperties>
</file>